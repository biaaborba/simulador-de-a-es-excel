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a\Downloads\"/>
    </mc:Choice>
  </mc:AlternateContent>
  <xr:revisionPtr revIDLastSave="0" documentId="8_{6B43DD99-5517-41A4-AC83-27124718280D}" xr6:coauthVersionLast="47" xr6:coauthVersionMax="47" xr10:uidLastSave="{00000000-0000-0000-0000-000000000000}"/>
  <bookViews>
    <workbookView xWindow="-120" yWindow="-120" windowWidth="20730" windowHeight="11040" tabRatio="254" xr2:uid="{077E53F1-AC05-4D17-A0BA-DD4C04149460}"/>
  </bookViews>
  <sheets>
    <sheet name="Projeto Imobiliário" sheetId="1" r:id="rId1"/>
    <sheet name="APOIO" sheetId="2" r:id="rId2"/>
  </sheets>
  <definedNames>
    <definedName name="aporte">'Projeto Imobiliário'!$D$19</definedName>
    <definedName name="qtd_anos">'Projeto Imobiliário'!$D$20</definedName>
    <definedName name="rendimento_carteira">'Projeto Imobiliário'!$D$15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2" l="1"/>
  <c r="C39" i="1"/>
  <c r="C40" i="1"/>
  <c r="C41" i="1"/>
  <c r="C42" i="1"/>
  <c r="C43" i="1"/>
  <c r="D43" i="1" s="1"/>
  <c r="C38" i="1"/>
  <c r="I3" i="2"/>
  <c r="B4" i="2"/>
  <c r="B10" i="2"/>
  <c r="B11" i="2"/>
  <c r="B12" i="2"/>
  <c r="B13" i="2"/>
  <c r="B14" i="2"/>
  <c r="B15" i="2"/>
  <c r="B16" i="2"/>
  <c r="B17" i="2"/>
  <c r="B18" i="2"/>
  <c r="B19" i="2"/>
  <c r="B20" i="2"/>
  <c r="B5" i="2"/>
  <c r="B6" i="2"/>
  <c r="B7" i="2"/>
  <c r="B8" i="2"/>
  <c r="B3" i="2"/>
  <c r="C34" i="1"/>
  <c r="D16" i="1"/>
  <c r="C27" i="1"/>
  <c r="D27" i="1" s="1"/>
  <c r="C28" i="1"/>
  <c r="D28" i="1" s="1"/>
  <c r="C29" i="1"/>
  <c r="D29" i="1" s="1"/>
  <c r="C30" i="1"/>
  <c r="D30" i="1" s="1"/>
  <c r="C26" i="1"/>
  <c r="D26" i="1" s="1"/>
  <c r="D22" i="1"/>
  <c r="D23" i="1" s="1"/>
  <c r="D40" i="1" l="1"/>
  <c r="D42" i="1"/>
  <c r="D39" i="1"/>
  <c r="D44" i="1" s="1"/>
  <c r="D41" i="1"/>
  <c r="D38" i="1"/>
</calcChain>
</file>

<file path=xl/sharedStrings.xml><?xml version="1.0" encoding="utf-8"?>
<sst xmlns="http://schemas.openxmlformats.org/spreadsheetml/2006/main" count="70" uniqueCount="34">
  <si>
    <t>INVESTIMENTO MENSAL</t>
  </si>
  <si>
    <t>TAXA DE RENDIMENTO MENSAL?</t>
  </si>
  <si>
    <t>DIVIDENDO MENSAL</t>
  </si>
  <si>
    <t>PATRIMÔNIO ACUMULADO</t>
  </si>
  <si>
    <t>PRETENSÃO ANUAL PARA INVESTIMENTO?</t>
  </si>
  <si>
    <t>INVESTIMENTO POR  MÊS?</t>
  </si>
  <si>
    <t>QUANTO EM 2 ANOS?</t>
  </si>
  <si>
    <t>QUANTO EM 5 ANOS?</t>
  </si>
  <si>
    <t>QUANTO EM 10 ANOS?</t>
  </si>
  <si>
    <t>QUANTO EM 20 ANOS?</t>
  </si>
  <si>
    <t>QUANTO EM 30 ANOS?</t>
  </si>
  <si>
    <t>CENÁRIOS- PATRIMÔNIO ACUMULADO/DIVIDENDO</t>
  </si>
  <si>
    <t>CONFIGURAÇÕES</t>
  </si>
  <si>
    <t>RENDIMENTO CARTEIRA</t>
  </si>
  <si>
    <t>SALÁRIO</t>
  </si>
  <si>
    <t>PERFIL</t>
  </si>
  <si>
    <t>AGRESSIVO</t>
  </si>
  <si>
    <t>CONSERVADOR</t>
  </si>
  <si>
    <t>VALOR A SER IINVESTIDO POR MÊS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</si>
  <si>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</si>
  <si>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</si>
  <si>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</si>
  <si>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</si>
  <si>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</si>
  <si>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</si>
  <si>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</si>
  <si>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</si>
  <si>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</si>
  <si>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TOTAL</t>
  </si>
  <si>
    <t>PERCENTUAL</t>
  </si>
  <si>
    <t>CHAVE</t>
  </si>
  <si>
    <t>CONSERVADOR-TIJOLO</t>
  </si>
  <si>
    <t>MODERADO</t>
  </si>
  <si>
    <t>SUJESTÃO DE INVESTIMENTO (30%)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</si>
</sst>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44" formatCode="_-&quot;R$&quot;\ * #,##0.00_-;\-&quot;R$&quot;\ * #,##0.00_-;_-&quot;R$&quot;\ * &quot;-&quot;??_-;_-@_-"/>
    <numFmt numFmtId="165" formatCode="0.000%"/>
    <numFmt numFmtId="167" formatCode="&quot;R$&quot;\ #,##0.00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3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89999084444715716"/>
        <bgColor indexed="64"/>
      </patternFill>
    </fill>
  </fills>
  <borders count="14">
    <border>
      <left/>
      <right/>
      <top/>
      <bottom/>
      <diagonal/>
    </border>
    <border>
      <left/>
      <right style="medium">
        <color theme="0" tint="-0.499984740745262"/>
      </right>
      <top/>
      <bottom style="medium">
        <color theme="0" tint="-0.499984740745262"/>
      </bottom>
      <diagonal/>
    </border>
    <border>
      <left style="medium">
        <color theme="0" tint="-0.499984740745262"/>
      </left>
      <right/>
      <top/>
      <bottom style="medium">
        <color theme="0" tint="-0.499984740745262"/>
      </bottom>
      <diagonal/>
    </border>
    <border>
      <left/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/>
      <right style="medium">
        <color theme="1" tint="0.24994659260841701"/>
      </right>
      <top style="medium">
        <color theme="1" tint="0.24994659260841701"/>
      </top>
      <bottom/>
      <diagonal/>
    </border>
    <border>
      <left style="medium">
        <color theme="1" tint="0.24994659260841701"/>
      </left>
      <right/>
      <top/>
      <bottom/>
      <diagonal/>
    </border>
    <border>
      <left style="medium">
        <color theme="1" tint="0.14996795556505021"/>
      </left>
      <right/>
      <top style="medium">
        <color theme="1" tint="0.14996795556505021"/>
      </top>
      <bottom/>
      <diagonal/>
    </border>
    <border>
      <left/>
      <right/>
      <top style="medium">
        <color theme="1" tint="0.14996795556505021"/>
      </top>
      <bottom/>
      <diagonal/>
    </border>
    <border>
      <left/>
      <right style="medium">
        <color theme="1" tint="0.14996795556505021"/>
      </right>
      <top style="medium">
        <color theme="1" tint="0.14996795556505021"/>
      </top>
      <bottom/>
      <diagonal/>
    </border>
    <border>
      <left style="medium">
        <color theme="0" tint="-0.499984740745262"/>
      </left>
      <right style="medium">
        <color theme="0" tint="-0.499984740745262"/>
      </right>
      <top/>
      <bottom style="medium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/>
      <bottom/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thick">
        <color theme="1"/>
      </bottom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thick">
        <color auto="1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56">
    <xf numFmtId="0" fontId="0" fillId="0" borderId="0" xfId="0"/>
    <xf numFmtId="0" fontId="5" fillId="0" borderId="0" xfId="0" applyFont="1"/>
    <xf numFmtId="0" fontId="6" fillId="3" borderId="4" xfId="0" applyFont="1" applyFill="1" applyBorder="1" applyAlignment="1">
      <alignment vertical="center"/>
    </xf>
    <xf numFmtId="0" fontId="6" fillId="3" borderId="5" xfId="0" applyFont="1" applyFill="1" applyBorder="1" applyAlignment="1">
      <alignment horizontal="left" vertical="center"/>
    </xf>
    <xf numFmtId="0" fontId="6" fillId="3" borderId="0" xfId="0" applyFont="1" applyFill="1" applyBorder="1" applyAlignment="1">
      <alignment horizontal="left" vertical="center"/>
    </xf>
    <xf numFmtId="0" fontId="6" fillId="3" borderId="6" xfId="0" applyFont="1" applyFill="1" applyBorder="1" applyAlignment="1">
      <alignment horizontal="left" vertical="center"/>
    </xf>
    <xf numFmtId="0" fontId="6" fillId="3" borderId="7" xfId="0" applyFont="1" applyFill="1" applyBorder="1" applyAlignment="1">
      <alignment horizontal="left" vertical="center"/>
    </xf>
    <xf numFmtId="0" fontId="6" fillId="3" borderId="8" xfId="0" applyFont="1" applyFill="1" applyBorder="1" applyAlignment="1">
      <alignment horizontal="left" vertical="center"/>
    </xf>
    <xf numFmtId="8" fontId="4" fillId="5" borderId="9" xfId="0" applyNumberFormat="1" applyFont="1" applyFill="1" applyBorder="1" applyAlignment="1">
      <alignment horizontal="center"/>
    </xf>
    <xf numFmtId="8" fontId="4" fillId="5" borderId="10" xfId="0" applyNumberFormat="1" applyFont="1" applyFill="1" applyBorder="1" applyAlignment="1">
      <alignment horizontal="center"/>
    </xf>
    <xf numFmtId="0" fontId="6" fillId="6" borderId="0" xfId="0" applyFont="1" applyFill="1" applyAlignment="1">
      <alignment horizontal="left" vertical="center"/>
    </xf>
    <xf numFmtId="0" fontId="10" fillId="6" borderId="0" xfId="0" applyFont="1" applyFill="1" applyAlignment="1">
      <alignment vertical="center"/>
    </xf>
    <xf numFmtId="9" fontId="0" fillId="0" borderId="10" xfId="0" applyNumberFormat="1" applyBorder="1" applyAlignment="1">
      <alignment horizontal="center"/>
    </xf>
    <xf numFmtId="167" fontId="0" fillId="5" borderId="10" xfId="0" applyNumberFormat="1" applyFill="1" applyBorder="1" applyAlignment="1">
      <alignment horizontal="center"/>
    </xf>
    <xf numFmtId="0" fontId="11" fillId="5" borderId="10" xfId="0" applyFont="1" applyFill="1" applyBorder="1"/>
    <xf numFmtId="0" fontId="11" fillId="7" borderId="10" xfId="0" applyFont="1" applyFill="1" applyBorder="1"/>
    <xf numFmtId="0" fontId="11" fillId="5" borderId="9" xfId="0" applyFont="1" applyFill="1" applyBorder="1"/>
    <xf numFmtId="8" fontId="4" fillId="7" borderId="10" xfId="0" applyNumberFormat="1" applyFont="1" applyFill="1" applyBorder="1" applyAlignment="1">
      <alignment horizontal="center"/>
    </xf>
    <xf numFmtId="8" fontId="4" fillId="7" borderId="9" xfId="0" applyNumberFormat="1" applyFont="1" applyFill="1" applyBorder="1" applyAlignment="1">
      <alignment horizontal="center"/>
    </xf>
    <xf numFmtId="167" fontId="4" fillId="5" borderId="3" xfId="0" applyNumberFormat="1" applyFont="1" applyFill="1" applyBorder="1" applyAlignment="1">
      <alignment horizontal="center"/>
    </xf>
    <xf numFmtId="8" fontId="9" fillId="5" borderId="3" xfId="0" applyNumberFormat="1" applyFont="1" applyFill="1" applyBorder="1" applyAlignment="1">
      <alignment horizontal="center"/>
    </xf>
    <xf numFmtId="8" fontId="9" fillId="7" borderId="3" xfId="0" applyNumberFormat="1" applyFont="1" applyFill="1" applyBorder="1" applyAlignment="1">
      <alignment horizontal="center"/>
    </xf>
    <xf numFmtId="0" fontId="7" fillId="5" borderId="2" xfId="0" applyFont="1" applyFill="1" applyBorder="1" applyAlignment="1">
      <alignment horizontal="left"/>
    </xf>
    <xf numFmtId="0" fontId="7" fillId="5" borderId="1" xfId="0" applyFont="1" applyFill="1" applyBorder="1" applyAlignment="1">
      <alignment horizontal="left"/>
    </xf>
    <xf numFmtId="0" fontId="0" fillId="7" borderId="2" xfId="0" applyFill="1" applyBorder="1" applyAlignment="1">
      <alignment horizontal="left"/>
    </xf>
    <xf numFmtId="0" fontId="0" fillId="7" borderId="1" xfId="0" applyFill="1" applyBorder="1" applyAlignment="1">
      <alignment horizontal="left"/>
    </xf>
    <xf numFmtId="0" fontId="4" fillId="5" borderId="2" xfId="0" applyFont="1" applyFill="1" applyBorder="1" applyAlignment="1">
      <alignment horizontal="left"/>
    </xf>
    <xf numFmtId="0" fontId="4" fillId="5" borderId="1" xfId="0" applyFont="1" applyFill="1" applyBorder="1" applyAlignment="1">
      <alignment horizontal="left"/>
    </xf>
    <xf numFmtId="0" fontId="7" fillId="7" borderId="2" xfId="0" applyFont="1" applyFill="1" applyBorder="1" applyAlignment="1">
      <alignment horizontal="left"/>
    </xf>
    <xf numFmtId="0" fontId="7" fillId="7" borderId="1" xfId="0" applyFont="1" applyFill="1" applyBorder="1" applyAlignment="1">
      <alignment horizontal="left"/>
    </xf>
    <xf numFmtId="0" fontId="11" fillId="5" borderId="2" xfId="0" applyFont="1" applyFill="1" applyBorder="1" applyAlignment="1">
      <alignment horizontal="left"/>
    </xf>
    <xf numFmtId="0" fontId="11" fillId="5" borderId="1" xfId="0" applyFont="1" applyFill="1" applyBorder="1" applyAlignment="1">
      <alignment horizontal="left"/>
    </xf>
    <xf numFmtId="0" fontId="11" fillId="7" borderId="2" xfId="0" applyFont="1" applyFill="1" applyBorder="1" applyAlignment="1">
      <alignment horizontal="left"/>
    </xf>
    <xf numFmtId="0" fontId="11" fillId="7" borderId="1" xfId="0" applyFont="1" applyFill="1" applyBorder="1" applyAlignment="1">
      <alignment horizontal="left"/>
    </xf>
    <xf numFmtId="0" fontId="2" fillId="2" borderId="0" xfId="3"/>
    <xf numFmtId="0" fontId="0" fillId="7" borderId="0" xfId="0" applyFill="1"/>
    <xf numFmtId="0" fontId="4" fillId="7" borderId="0" xfId="0" applyFont="1" applyFill="1"/>
    <xf numFmtId="167" fontId="4" fillId="7" borderId="0" xfId="0" applyNumberFormat="1" applyFont="1" applyFill="1"/>
    <xf numFmtId="9" fontId="0" fillId="0" borderId="0" xfId="0" applyNumberFormat="1" applyAlignment="1">
      <alignment horizontal="center"/>
    </xf>
    <xf numFmtId="0" fontId="3" fillId="4" borderId="9" xfId="0" applyFont="1" applyFill="1" applyBorder="1" applyAlignment="1">
      <alignment horizontal="center"/>
    </xf>
    <xf numFmtId="0" fontId="0" fillId="0" borderId="10" xfId="0" applyBorder="1" applyAlignment="1">
      <alignment horizontal="left"/>
    </xf>
    <xf numFmtId="0" fontId="3" fillId="8" borderId="11" xfId="0" applyFont="1" applyFill="1" applyBorder="1" applyAlignment="1">
      <alignment horizontal="left"/>
    </xf>
    <xf numFmtId="0" fontId="3" fillId="8" borderId="0" xfId="0" applyFont="1" applyFill="1"/>
    <xf numFmtId="167" fontId="3" fillId="8" borderId="0" xfId="0" applyNumberFormat="1" applyFont="1" applyFill="1" applyAlignment="1">
      <alignment horizontal="center"/>
    </xf>
    <xf numFmtId="0" fontId="0" fillId="0" borderId="0" xfId="0" applyBorder="1" applyAlignment="1">
      <alignment horizontal="left"/>
    </xf>
    <xf numFmtId="167" fontId="0" fillId="7" borderId="10" xfId="0" applyNumberFormat="1" applyFill="1" applyBorder="1" applyAlignment="1">
      <alignment horizontal="center"/>
    </xf>
    <xf numFmtId="0" fontId="0" fillId="0" borderId="9" xfId="0" applyBorder="1" applyAlignment="1">
      <alignment horizontal="left"/>
    </xf>
    <xf numFmtId="0" fontId="0" fillId="0" borderId="12" xfId="0" applyBorder="1" applyAlignment="1">
      <alignment horizontal="left"/>
    </xf>
    <xf numFmtId="9" fontId="0" fillId="0" borderId="12" xfId="0" applyNumberFormat="1" applyBorder="1" applyAlignment="1">
      <alignment horizontal="center"/>
    </xf>
    <xf numFmtId="0" fontId="0" fillId="0" borderId="13" xfId="0" applyBorder="1" applyAlignment="1">
      <alignment horizontal="left"/>
    </xf>
    <xf numFmtId="9" fontId="0" fillId="0" borderId="0" xfId="2" applyFont="1"/>
    <xf numFmtId="167" fontId="0" fillId="0" borderId="1" xfId="0" applyNumberFormat="1" applyBorder="1" applyAlignment="1" applyProtection="1">
      <alignment horizontal="center"/>
      <protection locked="0"/>
    </xf>
    <xf numFmtId="10" fontId="0" fillId="0" borderId="3" xfId="0" applyNumberFormat="1" applyBorder="1" applyAlignment="1" applyProtection="1">
      <alignment horizontal="center"/>
      <protection locked="0"/>
    </xf>
    <xf numFmtId="167" fontId="8" fillId="0" borderId="1" xfId="1" applyNumberFormat="1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 applyProtection="1">
      <alignment horizontal="center" vertical="center"/>
      <protection locked="0"/>
    </xf>
    <xf numFmtId="165" fontId="8" fillId="0" borderId="3" xfId="0" applyNumberFormat="1" applyFont="1" applyBorder="1" applyAlignment="1" applyProtection="1">
      <alignment horizontal="center" vertical="center"/>
      <protection locked="0"/>
    </xf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'Projeto Imobiliário'!$B$38:$B$43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'Projeto Imobiliário'!$C$38:$C$43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2E-475D-8312-903855AD4A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190501</xdr:colOff>
      <xdr:row>3</xdr:row>
      <xdr:rowOff>9554</xdr:rowOff>
    </xdr:from>
    <xdr:to>
      <xdr:col>5</xdr:col>
      <xdr:colOff>152401</xdr:colOff>
      <xdr:row>10</xdr:row>
      <xdr:rowOff>111972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2F99A61-7066-47BD-8AD3-52701077C73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3" t="34846" r="1623" b="34526"/>
        <a:stretch>
          <a:fillRect/>
        </a:stretch>
      </xdr:blipFill>
      <xdr:spPr>
        <a:xfrm>
          <a:off x="190501" y="581054"/>
          <a:ext cx="6305550" cy="1435918"/>
        </a:xfrm>
        <a:prstGeom prst="rect">
          <a:avLst/>
        </a:prstGeom>
      </xdr:spPr>
    </xdr:pic>
    <xdr:clientData/>
  </xdr:twoCellAnchor>
  <xdr:twoCellAnchor>
    <xdr:from>
      <xdr:col>1</xdr:col>
      <xdr:colOff>614362</xdr:colOff>
      <xdr:row>45</xdr:row>
      <xdr:rowOff>114300</xdr:rowOff>
    </xdr:from>
    <xdr:to>
      <xdr:col>3</xdr:col>
      <xdr:colOff>785812</xdr:colOff>
      <xdr:row>60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314DE9D-132B-16C8-EAEF-460E806304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6658C-58E8-41CA-836A-A14E8F3F9354}">
  <sheetPr>
    <pageSetUpPr autoPageBreaks="0"/>
  </sheetPr>
  <dimension ref="A13:G51"/>
  <sheetViews>
    <sheetView showGridLines="0" showRowColHeaders="0" tabSelected="1" zoomScaleNormal="100" workbookViewId="0">
      <selection activeCell="D21" activeCellId="3" sqref="D14 D15 D19 D19:D2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0" defaultRowHeight="15" x14ac:dyDescent="0.25"/>
  <cols>
    <col min="1" max="1" width="7" customWidth="1"/>
    <col min="2" max="2" width="32.7109375" bestFit="1" customWidth="1"/>
    <col min="3" max="3" width="33.28515625" customWidth="1"/>
    <col min="4" max="4" width="18.28515625" customWidth="1"/>
    <col min="5" max="5" width="3.85546875" customWidth="1"/>
    <col min="6" max="6" width="2.42578125" customWidth="1"/>
    <col min="7" max="7" width="3.42578125" customWidth="1"/>
    <col min="8" max="8" width="9.140625" hidden="1" customWidth="1"/>
    <col min="9" max="16384" width="9.140625" hidden="1"/>
  </cols>
  <sheetData>
    <row r="13" spans="2:4" ht="26.25" x14ac:dyDescent="0.25">
      <c r="B13" s="10" t="s">
        <v>12</v>
      </c>
      <c r="C13" s="10"/>
      <c r="D13" s="11"/>
    </row>
    <row r="14" spans="2:4" ht="16.5" thickBot="1" x14ac:dyDescent="0.3">
      <c r="B14" s="22" t="s">
        <v>14</v>
      </c>
      <c r="C14" s="23"/>
      <c r="D14" s="51">
        <v>2000</v>
      </c>
    </row>
    <row r="15" spans="2:4" ht="15.75" thickBot="1" x14ac:dyDescent="0.3">
      <c r="B15" s="24" t="s">
        <v>13</v>
      </c>
      <c r="C15" s="25"/>
      <c r="D15" s="52">
        <v>6.0000000000000001E-3</v>
      </c>
    </row>
    <row r="16" spans="2:4" ht="15.75" thickBot="1" x14ac:dyDescent="0.3">
      <c r="B16" s="26" t="s">
        <v>33</v>
      </c>
      <c r="C16" s="27"/>
      <c r="D16" s="19">
        <f>D14*30%</f>
        <v>600</v>
      </c>
    </row>
    <row r="17" spans="1:4" ht="15.75" customHeight="1" thickBot="1" x14ac:dyDescent="0.3"/>
    <row r="18" spans="1:4" ht="32.25" customHeight="1" x14ac:dyDescent="0.25">
      <c r="B18" s="3" t="s">
        <v>0</v>
      </c>
      <c r="C18" s="4"/>
      <c r="D18" s="2"/>
    </row>
    <row r="19" spans="1:4" ht="18" customHeight="1" thickBot="1" x14ac:dyDescent="0.3">
      <c r="B19" s="28" t="s">
        <v>5</v>
      </c>
      <c r="C19" s="29"/>
      <c r="D19" s="53">
        <v>200</v>
      </c>
    </row>
    <row r="20" spans="1:4" ht="18" customHeight="1" thickBot="1" x14ac:dyDescent="0.3">
      <c r="B20" s="22" t="s">
        <v>4</v>
      </c>
      <c r="C20" s="23"/>
      <c r="D20" s="54">
        <v>5</v>
      </c>
    </row>
    <row r="21" spans="1:4" ht="18" customHeight="1" thickBot="1" x14ac:dyDescent="0.3">
      <c r="B21" s="28" t="s">
        <v>1</v>
      </c>
      <c r="C21" s="29"/>
      <c r="D21" s="55">
        <v>1.0789999999999999E-2</v>
      </c>
    </row>
    <row r="22" spans="1:4" ht="18" customHeight="1" thickBot="1" x14ac:dyDescent="0.35">
      <c r="B22" s="30" t="s">
        <v>3</v>
      </c>
      <c r="C22" s="31"/>
      <c r="D22" s="20">
        <f>FV(D21,D20*12,D19*-1)</f>
        <v>16755.382799697527</v>
      </c>
    </row>
    <row r="23" spans="1:4" ht="18" customHeight="1" thickBot="1" x14ac:dyDescent="0.35">
      <c r="B23" s="32" t="s">
        <v>2</v>
      </c>
      <c r="C23" s="33"/>
      <c r="D23" s="21">
        <f>D22*$D$15</f>
        <v>100.53229679818516</v>
      </c>
    </row>
    <row r="24" spans="1:4" ht="15.75" thickBot="1" x14ac:dyDescent="0.3"/>
    <row r="25" spans="1:4" ht="33" customHeight="1" x14ac:dyDescent="0.25">
      <c r="B25" s="5" t="s">
        <v>11</v>
      </c>
      <c r="C25" s="6"/>
      <c r="D25" s="7"/>
    </row>
    <row r="26" spans="1:4" ht="15.75" customHeight="1" thickBot="1" x14ac:dyDescent="0.3">
      <c r="A26" s="1">
        <v>2</v>
      </c>
      <c r="B26" s="16" t="s">
        <v>6</v>
      </c>
      <c r="C26" s="8">
        <f>FV($D$21,$A26*12,$D$19*-1)</f>
        <v>5445.5254595290435</v>
      </c>
      <c r="D26" s="8">
        <f>C26*$D$15</f>
        <v>32.673152757174265</v>
      </c>
    </row>
    <row r="27" spans="1:4" ht="15.75" customHeight="1" thickBot="1" x14ac:dyDescent="0.3">
      <c r="A27" s="1">
        <v>5</v>
      </c>
      <c r="B27" s="15" t="s">
        <v>7</v>
      </c>
      <c r="C27" s="17">
        <f>FV($D$21,$A27*12,$D$19*-1)</f>
        <v>16755.382799697527</v>
      </c>
      <c r="D27" s="18">
        <f>C27*$D$15</f>
        <v>100.53229679818516</v>
      </c>
    </row>
    <row r="28" spans="1:4" ht="15.75" customHeight="1" thickBot="1" x14ac:dyDescent="0.3">
      <c r="A28" s="1">
        <v>10</v>
      </c>
      <c r="B28" s="14" t="s">
        <v>8</v>
      </c>
      <c r="C28" s="9">
        <f>FV($D$21,$A28*12,$D$19*-1)</f>
        <v>48656.842506034438</v>
      </c>
      <c r="D28" s="8">
        <f>C28*$D$15</f>
        <v>291.94105503620665</v>
      </c>
    </row>
    <row r="29" spans="1:4" ht="15.75" customHeight="1" thickBot="1" x14ac:dyDescent="0.3">
      <c r="A29" s="1">
        <v>20</v>
      </c>
      <c r="B29" s="15" t="s">
        <v>9</v>
      </c>
      <c r="C29" s="17">
        <f>FV($D$21,$A29*12,$D$19*-1)</f>
        <v>225039.68001941612</v>
      </c>
      <c r="D29" s="18">
        <f>C29*$D$15</f>
        <v>1350.2380801164968</v>
      </c>
    </row>
    <row r="30" spans="1:4" ht="15.75" customHeight="1" thickBot="1" x14ac:dyDescent="0.3">
      <c r="A30" s="1">
        <v>30</v>
      </c>
      <c r="B30" s="14" t="s">
        <v>10</v>
      </c>
      <c r="C30" s="9">
        <f>FV($D$21,$A30*12,$D$19*-1)</f>
        <v>864433.93100094295</v>
      </c>
      <c r="D30" s="8">
        <f>C30*$D$15</f>
        <v>5186.6035860056581</v>
      </c>
    </row>
    <row r="31" spans="1:4" ht="15" customHeight="1" x14ac:dyDescent="0.25"/>
    <row r="32" spans="1:4" ht="15" customHeight="1" x14ac:dyDescent="0.25"/>
    <row r="33" spans="2:4" x14ac:dyDescent="0.25">
      <c r="B33" s="34" t="s">
        <v>15</v>
      </c>
      <c r="C33" s="34" t="s">
        <v>32</v>
      </c>
      <c r="D33" s="34"/>
    </row>
    <row r="34" spans="2:4" x14ac:dyDescent="0.25">
      <c r="B34" s="36" t="s">
        <v>18</v>
      </c>
      <c r="C34" s="37">
        <f>aporte</f>
        <v>200</v>
      </c>
      <c r="D34" s="35"/>
    </row>
    <row r="37" spans="2:4" ht="15.75" thickBot="1" x14ac:dyDescent="0.3">
      <c r="B37" s="39" t="s">
        <v>19</v>
      </c>
      <c r="C37" s="39" t="s">
        <v>20</v>
      </c>
      <c r="D37" s="39" t="s">
        <v>21</v>
      </c>
    </row>
    <row r="38" spans="2:4" ht="15.75" thickBot="1" x14ac:dyDescent="0.3">
      <c r="B38" s="40" t="s">
        <v>22</v>
      </c>
      <c r="C38" s="12">
        <f>VLOOKUP($C$33&amp;"-"&amp;B38,APOIO!$B:$E,4,FALSE)</f>
        <v>0.32</v>
      </c>
      <c r="D38" s="13">
        <f>C38*$C$34</f>
        <v>64</v>
      </c>
    </row>
    <row r="39" spans="2:4" ht="15.75" thickBot="1" x14ac:dyDescent="0.3">
      <c r="B39" s="40" t="s">
        <v>23</v>
      </c>
      <c r="C39" s="12">
        <f>VLOOKUP($C$33&amp;"-"&amp;B39,APOIO!$B:$E,4,FALSE)</f>
        <v>0.35</v>
      </c>
      <c r="D39" s="45">
        <f t="shared" ref="D39:D43" si="0">C39*$C$34</f>
        <v>70</v>
      </c>
    </row>
    <row r="40" spans="2:4" ht="15.75" thickBot="1" x14ac:dyDescent="0.3">
      <c r="B40" s="40" t="s">
        <v>24</v>
      </c>
      <c r="C40" s="12">
        <f>VLOOKUP($C$33&amp;"-"&amp;B40,APOIO!$B:$E,4,FALSE)</f>
        <v>0.08</v>
      </c>
      <c r="D40" s="13">
        <f t="shared" si="0"/>
        <v>16</v>
      </c>
    </row>
    <row r="41" spans="2:4" ht="15.75" thickBot="1" x14ac:dyDescent="0.3">
      <c r="B41" s="40" t="s">
        <v>25</v>
      </c>
      <c r="C41" s="12">
        <f>VLOOKUP($C$33&amp;"-"&amp;B41,APOIO!$B:$E,4,FALSE)</f>
        <v>0.1</v>
      </c>
      <c r="D41" s="45">
        <f t="shared" si="0"/>
        <v>20</v>
      </c>
    </row>
    <row r="42" spans="2:4" ht="15.75" thickBot="1" x14ac:dyDescent="0.3">
      <c r="B42" s="40" t="s">
        <v>26</v>
      </c>
      <c r="C42" s="12">
        <f>VLOOKUP($C$33&amp;"-"&amp;B42,APOIO!$B:$E,4,FALSE)</f>
        <v>0.1</v>
      </c>
      <c r="D42" s="13">
        <f t="shared" si="0"/>
        <v>20</v>
      </c>
    </row>
    <row r="43" spans="2:4" ht="15.75" thickBot="1" x14ac:dyDescent="0.3">
      <c r="B43" s="40" t="s">
        <v>27</v>
      </c>
      <c r="C43" s="12">
        <f>VLOOKUP($C$33&amp;"-"&amp;B43,APOIO!$B:$E,4,FALSE)</f>
        <v>0.1</v>
      </c>
      <c r="D43" s="45">
        <f t="shared" si="0"/>
        <v>20</v>
      </c>
    </row>
    <row r="44" spans="2:4" x14ac:dyDescent="0.25">
      <c r="B44" s="41" t="s">
        <v>28</v>
      </c>
      <c r="C44" s="42"/>
      <c r="D44" s="43">
        <f>SUM(D38:D43)</f>
        <v>210</v>
      </c>
    </row>
    <row r="49" customFormat="1" x14ac:dyDescent="0.25"/>
    <row r="50" customFormat="1" x14ac:dyDescent="0.25"/>
    <row r="51" customFormat="1" x14ac:dyDescent="0.25"/>
  </sheetData>
  <mergeCells count="11">
    <mergeCell ref="B13:C13"/>
    <mergeCell ref="B19:C19"/>
    <mergeCell ref="B20:C20"/>
    <mergeCell ref="B21:C21"/>
    <mergeCell ref="B22:C22"/>
    <mergeCell ref="B23:C23"/>
    <mergeCell ref="B18:C18"/>
    <mergeCell ref="B25:D25"/>
    <mergeCell ref="B14:C14"/>
    <mergeCell ref="B15:C15"/>
    <mergeCell ref="B16:C16"/>
  </mergeCells>
  <dataValidations count="1">
    <dataValidation type="list" allowBlank="1" showInputMessage="1" showErrorMessage="1" sqref="C33" xr:uid="{B141D46B-277D-4E2C-9D47-427D2C0C2E2F}">
      <formula1>"CONSERVADOR,MODERADO,AGRESSIVO"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A4475-48E5-4DB4-AA3E-977E75415954}">
  <dimension ref="B2:I21"/>
  <sheetViews>
    <sheetView topLeftCell="A2" workbookViewId="0">
      <selection activeCell="E12" sqref="E12"/>
    </sheetView>
  </sheetViews>
  <sheetFormatPr defaultRowHeight="15" x14ac:dyDescent="0.25"/>
  <cols>
    <col min="2" max="2" width="33" bestFit="1" customWidth="1"/>
    <col min="3" max="3" width="14.42578125" bestFit="1" customWidth="1"/>
    <col min="4" max="4" width="19.28515625" customWidth="1"/>
    <col min="5" max="5" width="18.5703125" bestFit="1" customWidth="1"/>
    <col min="6" max="6" width="18.5703125" customWidth="1"/>
    <col min="7" max="7" width="14.42578125" bestFit="1" customWidth="1"/>
  </cols>
  <sheetData>
    <row r="2" spans="2:9" ht="15.75" thickBot="1" x14ac:dyDescent="0.3">
      <c r="B2" s="39" t="s">
        <v>30</v>
      </c>
      <c r="C2" s="39" t="s">
        <v>15</v>
      </c>
      <c r="D2" s="39" t="s">
        <v>19</v>
      </c>
      <c r="E2" s="39" t="s">
        <v>29</v>
      </c>
    </row>
    <row r="3" spans="2:9" ht="15.75" thickBot="1" x14ac:dyDescent="0.3">
      <c r="B3" s="40" t="str">
        <f>C3&amp;"-"&amp;D3</f>
        <v>CONSERVADOR-PAPEL</v>
      </c>
      <c r="C3" s="40" t="s">
        <v>17</v>
      </c>
      <c r="D3" s="40" t="s">
        <v>22</v>
      </c>
      <c r="E3" s="12">
        <v>0.3</v>
      </c>
      <c r="F3" s="44"/>
      <c r="G3" s="40" t="s">
        <v>31</v>
      </c>
      <c r="I3" s="50">
        <f>VLOOKUP(G3,$B:$E,4,FALSE)</f>
        <v>0.5</v>
      </c>
    </row>
    <row r="4" spans="2:9" ht="15.75" thickBot="1" x14ac:dyDescent="0.3">
      <c r="B4" s="40" t="str">
        <f t="shared" ref="B4:B20" si="0">C4&amp;"-"&amp;D4</f>
        <v>CONSERVADOR-TIJOLO</v>
      </c>
      <c r="C4" s="40" t="s">
        <v>17</v>
      </c>
      <c r="D4" s="40" t="s">
        <v>23</v>
      </c>
      <c r="E4" s="12">
        <v>0.5</v>
      </c>
      <c r="F4" s="44"/>
      <c r="G4" s="40"/>
      <c r="I4" s="50"/>
    </row>
    <row r="5" spans="2:9" ht="15.75" thickBot="1" x14ac:dyDescent="0.3">
      <c r="B5" s="40" t="str">
        <f t="shared" si="0"/>
        <v>CONSERVADOR-HÍBRIDOS</v>
      </c>
      <c r="C5" s="40" t="s">
        <v>17</v>
      </c>
      <c r="D5" s="40" t="s">
        <v>24</v>
      </c>
      <c r="E5" s="12">
        <v>0.1</v>
      </c>
      <c r="F5" s="44"/>
      <c r="I5" s="50"/>
    </row>
    <row r="6" spans="2:9" ht="15.75" thickBot="1" x14ac:dyDescent="0.3">
      <c r="B6" s="40" t="str">
        <f t="shared" si="0"/>
        <v>CONSERVADOR-FOFs</v>
      </c>
      <c r="C6" s="40" t="s">
        <v>17</v>
      </c>
      <c r="D6" s="40" t="s">
        <v>25</v>
      </c>
      <c r="E6" s="12">
        <v>0.1</v>
      </c>
      <c r="F6" s="44"/>
      <c r="I6" s="50"/>
    </row>
    <row r="7" spans="2:9" ht="15.75" thickBot="1" x14ac:dyDescent="0.3">
      <c r="B7" s="40" t="str">
        <f t="shared" si="0"/>
        <v>CONSERVADOR-DESENVOLVIMENTO</v>
      </c>
      <c r="C7" s="40" t="s">
        <v>17</v>
      </c>
      <c r="D7" s="40" t="s">
        <v>26</v>
      </c>
      <c r="E7" s="12">
        <v>0</v>
      </c>
      <c r="F7" s="44"/>
      <c r="G7" s="38"/>
      <c r="I7" s="50"/>
    </row>
    <row r="8" spans="2:9" ht="15.75" thickBot="1" x14ac:dyDescent="0.3">
      <c r="B8" s="47" t="str">
        <f t="shared" si="0"/>
        <v>CONSERVADOR-HOTELARIAS</v>
      </c>
      <c r="C8" s="47" t="s">
        <v>17</v>
      </c>
      <c r="D8" s="47" t="s">
        <v>27</v>
      </c>
      <c r="E8" s="48">
        <v>0</v>
      </c>
      <c r="F8" s="44"/>
      <c r="G8" s="38"/>
      <c r="I8" s="50"/>
    </row>
    <row r="9" spans="2:9" ht="16.5" thickTop="1" thickBot="1" x14ac:dyDescent="0.3">
      <c r="B9" s="46" t="str">
        <f>C9&amp;"-"&amp;D9</f>
        <v>MODERADO-PAPEL</v>
      </c>
      <c r="C9" s="46" t="s">
        <v>32</v>
      </c>
      <c r="D9" s="46" t="s">
        <v>22</v>
      </c>
      <c r="E9" s="12">
        <v>0.32</v>
      </c>
      <c r="G9" s="38"/>
      <c r="I9" s="50"/>
    </row>
    <row r="10" spans="2:9" ht="15.75" thickBot="1" x14ac:dyDescent="0.3">
      <c r="B10" s="40" t="str">
        <f t="shared" si="0"/>
        <v>MODERADO-TIJOLO</v>
      </c>
      <c r="C10" s="40" t="s">
        <v>32</v>
      </c>
      <c r="D10" s="40" t="s">
        <v>23</v>
      </c>
      <c r="E10" s="12">
        <v>0.35</v>
      </c>
      <c r="G10" s="38"/>
      <c r="I10" s="50"/>
    </row>
    <row r="11" spans="2:9" ht="15.75" thickBot="1" x14ac:dyDescent="0.3">
      <c r="B11" s="40" t="str">
        <f t="shared" si="0"/>
        <v>MODERADO-HÍBRIDOS</v>
      </c>
      <c r="C11" s="40" t="s">
        <v>32</v>
      </c>
      <c r="D11" s="40" t="s">
        <v>24</v>
      </c>
      <c r="E11" s="12">
        <v>0.08</v>
      </c>
      <c r="G11" s="38"/>
    </row>
    <row r="12" spans="2:9" ht="15.75" thickBot="1" x14ac:dyDescent="0.3">
      <c r="B12" s="40" t="str">
        <f t="shared" si="0"/>
        <v>MODERADO-FOFs</v>
      </c>
      <c r="C12" s="40" t="s">
        <v>32</v>
      </c>
      <c r="D12" s="40" t="s">
        <v>25</v>
      </c>
      <c r="E12" s="12">
        <v>0.1</v>
      </c>
    </row>
    <row r="13" spans="2:9" ht="15.75" thickBot="1" x14ac:dyDescent="0.3">
      <c r="B13" s="40" t="str">
        <f t="shared" si="0"/>
        <v>MODERADO-DESENVOLVIMENTO</v>
      </c>
      <c r="C13" s="40" t="s">
        <v>32</v>
      </c>
      <c r="D13" s="40" t="s">
        <v>26</v>
      </c>
      <c r="E13" s="12">
        <v>0.1</v>
      </c>
    </row>
    <row r="14" spans="2:9" ht="15.75" thickBot="1" x14ac:dyDescent="0.3">
      <c r="B14" s="47" t="str">
        <f t="shared" si="0"/>
        <v>MODERADO-HOTELARIAS</v>
      </c>
      <c r="C14" s="49" t="s">
        <v>32</v>
      </c>
      <c r="D14" s="49" t="s">
        <v>27</v>
      </c>
      <c r="E14" s="48">
        <v>0.1</v>
      </c>
    </row>
    <row r="15" spans="2:9" ht="16.5" thickTop="1" thickBot="1" x14ac:dyDescent="0.3">
      <c r="B15" s="46" t="str">
        <f t="shared" si="0"/>
        <v>AGRESSIVO-PAPEL</v>
      </c>
      <c r="C15" s="46" t="s">
        <v>16</v>
      </c>
      <c r="D15" s="46" t="s">
        <v>22</v>
      </c>
      <c r="E15" s="12">
        <v>0.5</v>
      </c>
    </row>
    <row r="16" spans="2:9" ht="15.75" thickBot="1" x14ac:dyDescent="0.3">
      <c r="B16" s="40" t="str">
        <f t="shared" si="0"/>
        <v>AGRESSIVO-TIJOLO</v>
      </c>
      <c r="C16" s="40" t="s">
        <v>16</v>
      </c>
      <c r="D16" s="40" t="s">
        <v>23</v>
      </c>
      <c r="E16" s="12">
        <v>0.1</v>
      </c>
    </row>
    <row r="17" spans="2:5" ht="15.75" thickBot="1" x14ac:dyDescent="0.3">
      <c r="B17" s="40" t="str">
        <f t="shared" si="0"/>
        <v>AGRESSIVO-HÍBRIDOS</v>
      </c>
      <c r="C17" s="40" t="s">
        <v>16</v>
      </c>
      <c r="D17" s="40" t="s">
        <v>24</v>
      </c>
      <c r="E17" s="12">
        <v>0.05</v>
      </c>
    </row>
    <row r="18" spans="2:5" ht="15.75" thickBot="1" x14ac:dyDescent="0.3">
      <c r="B18" s="40" t="str">
        <f t="shared" si="0"/>
        <v>AGRESSIVO-FOFs</v>
      </c>
      <c r="C18" s="40" t="s">
        <v>16</v>
      </c>
      <c r="D18" s="40" t="s">
        <v>25</v>
      </c>
      <c r="E18" s="12">
        <v>0.05</v>
      </c>
    </row>
    <row r="19" spans="2:5" ht="15.75" thickBot="1" x14ac:dyDescent="0.3">
      <c r="B19" s="40" t="str">
        <f t="shared" si="0"/>
        <v>AGRESSIVO-DESENVOLVIMENTO</v>
      </c>
      <c r="C19" s="40" t="s">
        <v>16</v>
      </c>
      <c r="D19" s="40" t="s">
        <v>26</v>
      </c>
      <c r="E19" s="12">
        <v>0.2</v>
      </c>
    </row>
    <row r="20" spans="2:5" ht="15.75" thickBot="1" x14ac:dyDescent="0.3">
      <c r="B20" s="47" t="str">
        <f t="shared" si="0"/>
        <v>AGRESSIVO-HOTELARIAS</v>
      </c>
      <c r="C20" s="49" t="s">
        <v>16</v>
      </c>
      <c r="D20" s="49" t="s">
        <v>27</v>
      </c>
      <c r="E20" s="48">
        <v>0.1</v>
      </c>
    </row>
    <row r="21" spans="2:5" ht="15.75" thickTop="1" x14ac:dyDescent="0.25"/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3</vt:i4>
      </vt:variant>
    </vt:vector>
  </HeadingPairs>
  <TitlesOfParts>
    <vt:vector size="5" baseType="lpstr">
      <vt:lpstr>Projeto Imobiliário</vt:lpstr>
      <vt:lpstr>APOIO</vt:lpstr>
      <vt:lpstr>aporte</vt:lpstr>
      <vt:lpstr>qtd_anos</vt:lpstr>
      <vt:lpstr>rendimento_carteira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Beatriz Borba de Oliveira Santos</dc:creator>
  <cp:lastModifiedBy>Maria Beatriz Borba de Oliveira Santos</cp:lastModifiedBy>
  <dcterms:created xsi:type="dcterms:W3CDTF">2025-12-26T20:41:12Z</dcterms:created>
  <dcterms:modified xsi:type="dcterms:W3CDTF">2025-12-27T00:24:26Z</dcterms:modified>
</cp:coreProperties>
</file>